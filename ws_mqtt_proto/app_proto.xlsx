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esp32\esp32_common\ws_mqtt_proto\"/>
    </mc:Choice>
  </mc:AlternateContent>
  <xr:revisionPtr revIDLastSave="0" documentId="13_ncr:1_{F8D5D265-3240-4C54-B98E-E3F4C3C0FF9F}" xr6:coauthVersionLast="47" xr6:coauthVersionMax="47" xr10:uidLastSave="{00000000-0000-0000-0000-000000000000}"/>
  <bookViews>
    <workbookView xWindow="-120" yWindow="-120" windowWidth="29040" windowHeight="17790" xr2:uid="{F18B4279-3DD4-4A7B-B6C0-9AE4AF60F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8" i="1" l="1"/>
  <c r="P26" i="1"/>
  <c r="P25" i="1"/>
  <c r="P24" i="1"/>
</calcChain>
</file>

<file path=xl/sharedStrings.xml><?xml version="1.0" encoding="utf-8"?>
<sst xmlns="http://schemas.openxmlformats.org/spreadsheetml/2006/main" count="116" uniqueCount="82">
  <si>
    <t>ver</t>
  </si>
  <si>
    <t>payload len</t>
  </si>
  <si>
    <t># fields in the header</t>
  </si>
  <si>
    <t>timestamp</t>
  </si>
  <si>
    <t>command/response</t>
  </si>
  <si>
    <t>payload</t>
  </si>
  <si>
    <t>CMD_SETBOOT</t>
  </si>
  <si>
    <t>part name</t>
  </si>
  <si>
    <t>xxxxxxxx</t>
  </si>
  <si>
    <t>CMD_ERASEPART</t>
  </si>
  <si>
    <t>cmd to ask</t>
  </si>
  <si>
    <t>param of cmd to ask</t>
  </si>
  <si>
    <t>PAR_PROGRESS</t>
  </si>
  <si>
    <t>%completed</t>
  </si>
  <si>
    <t>PAR_ERROR</t>
  </si>
  <si>
    <t>error code</t>
  </si>
  <si>
    <t>error txt</t>
  </si>
  <si>
    <t>DC</t>
  </si>
  <si>
    <t>RSP_CONFIRMATION</t>
  </si>
  <si>
    <t>cmd asked for</t>
  </si>
  <si>
    <t>OK | KO</t>
  </si>
  <si>
    <t>URC_STATUS</t>
  </si>
  <si>
    <t>RSP_CMD</t>
  </si>
  <si>
    <t>responded cmd</t>
  </si>
  <si>
    <t xml:space="preserve">responded cmd param1 </t>
  </si>
  <si>
    <t>cmd asked for param1</t>
  </si>
  <si>
    <t>param6</t>
  </si>
  <si>
    <t>param7</t>
  </si>
  <si>
    <t>param8</t>
  </si>
  <si>
    <t>CMD_UPDATEKEY</t>
  </si>
  <si>
    <t>CMD_UPDATEKEYREQ</t>
  </si>
  <si>
    <t>key name</t>
  </si>
  <si>
    <t>key len</t>
  </si>
  <si>
    <t>CMD_REQCONF</t>
  </si>
  <si>
    <t>RSP_UPDATEKEYREQ</t>
  </si>
  <si>
    <t>chunk size</t>
  </si>
  <si>
    <t>length</t>
  </si>
  <si>
    <t>key ID (#ns_#key)</t>
  </si>
  <si>
    <t>RSP_UPDATEKEY</t>
  </si>
  <si>
    <t>CMD_DELTENS</t>
  </si>
  <si>
    <t>namespace ID</t>
  </si>
  <si>
    <t>namespace name</t>
  </si>
  <si>
    <t>c2s</t>
  </si>
  <si>
    <t>s2c</t>
  </si>
  <si>
    <t>CMD_SETBOOT\1part name</t>
  </si>
  <si>
    <t>CMD_ERASEPART\1part name</t>
  </si>
  <si>
    <t>if running partition</t>
  </si>
  <si>
    <t>if ok to delete</t>
  </si>
  <si>
    <t>CMD_REQCONF\1CMD_ERASEPART\1part name\1</t>
  </si>
  <si>
    <t>RSP_CONFIRMATION\1CMD_ERASEPART\1part_name\1OK\1</t>
  </si>
  <si>
    <t>RSP_CMD\1CMD_ERASEPART\1part name\1-1\1cannot delete\1</t>
  </si>
  <si>
    <t>RSP_CMD\1CMD_ERASEPART\1part name\10\1success\1</t>
  </si>
  <si>
    <t>RSP_CMD\1CMD_SETBOOT\1part name\10\1success\1</t>
  </si>
  <si>
    <t>CMD_CREATEKEY</t>
  </si>
  <si>
    <t>key type</t>
  </si>
  <si>
    <t>key length</t>
  </si>
  <si>
    <t>val</t>
  </si>
  <si>
    <t>val length</t>
  </si>
  <si>
    <t>param[0]</t>
  </si>
  <si>
    <t>param[1]</t>
  </si>
  <si>
    <t>param[2]</t>
  </si>
  <si>
    <t>param[3]</t>
  </si>
  <si>
    <t>param[4]</t>
  </si>
  <si>
    <t>CMD_REBOOT</t>
  </si>
  <si>
    <t>only for numeric values</t>
  </si>
  <si>
    <t>CMD_UPDATE_KEYREQ</t>
  </si>
  <si>
    <t>for str and blob</t>
  </si>
  <si>
    <t>CMD_UPDATEKEYVAL</t>
  </si>
  <si>
    <t>nsID_keyID</t>
  </si>
  <si>
    <t>key ID</t>
  </si>
  <si>
    <t>CMD_DELTEKEY</t>
  </si>
  <si>
    <t>offset</t>
  </si>
  <si>
    <t>OP_DOWNLOAD
OP_UPLOAD</t>
  </si>
  <si>
    <t>OP_CONFIG</t>
  </si>
  <si>
    <t>max chunk size</t>
  </si>
  <si>
    <t>max blob size</t>
  </si>
  <si>
    <t>URC_DEVINFO</t>
  </si>
  <si>
    <t>value</t>
  </si>
  <si>
    <t>ap_ip
sta_ip
sta_ssid
sta_rssi
time</t>
  </si>
  <si>
    <t>CMD_QUERYSTATE</t>
  </si>
  <si>
    <t>CMD_SETCONF</t>
  </si>
  <si>
    <t>parameter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</si>
</sst>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DBE0-EF55-4425-BC9A-1895DB5EC3FA}">
  <dimension ref="B2:Q32"/>
  <sheetViews>
    <sheetView tabSelected="1" workbookViewId="0">
      <selection activeCell="F26" sqref="F26"/>
    </sheetView>
  </sheetViews>
  <sheetFormatPr defaultRowHeight="15" x14ac:dyDescent="0.25"/>
  <cols>
    <col min="2" max="2" width="3.5703125" bestFit="1" customWidth="1"/>
    <col min="3" max="3" width="19.42578125" bestFit="1" customWidth="1"/>
    <col min="4" max="4" width="11.28515625" bestFit="1" customWidth="1"/>
    <col min="5" max="5" width="10.42578125" bestFit="1" customWidth="1"/>
    <col min="6" max="6" width="23.42578125" style="2" bestFit="1" customWidth="1"/>
    <col min="7" max="7" width="23.85546875" bestFit="1" customWidth="1"/>
    <col min="8" max="8" width="22.85546875" bestFit="1" customWidth="1"/>
    <col min="9" max="9" width="13.140625" bestFit="1" customWidth="1"/>
    <col min="10" max="10" width="11.85546875" bestFit="1" customWidth="1"/>
    <col min="16" max="16" width="53.85546875" bestFit="1" customWidth="1"/>
    <col min="17" max="17" width="56.42578125" bestFit="1" customWidth="1"/>
  </cols>
  <sheetData>
    <row r="2" spans="2:17" x14ac:dyDescent="0.25">
      <c r="B2" s="3">
        <v>1</v>
      </c>
      <c r="C2" s="3">
        <v>2</v>
      </c>
      <c r="D2" s="3">
        <v>3</v>
      </c>
      <c r="E2" s="3">
        <v>4</v>
      </c>
      <c r="F2" s="4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P2" t="s">
        <v>42</v>
      </c>
      <c r="Q2" t="s">
        <v>43</v>
      </c>
    </row>
    <row r="3" spans="2:17" x14ac:dyDescent="0.25">
      <c r="B3" s="5" t="s">
        <v>0</v>
      </c>
      <c r="C3" s="5" t="s">
        <v>2</v>
      </c>
      <c r="D3" s="5" t="s">
        <v>1</v>
      </c>
      <c r="E3" s="5" t="s">
        <v>3</v>
      </c>
      <c r="F3" s="6" t="s">
        <v>4</v>
      </c>
      <c r="G3" s="5" t="s">
        <v>58</v>
      </c>
      <c r="H3" s="5" t="s">
        <v>59</v>
      </c>
      <c r="I3" s="5" t="s">
        <v>60</v>
      </c>
      <c r="J3" s="5" t="s">
        <v>61</v>
      </c>
      <c r="K3" s="5" t="s">
        <v>62</v>
      </c>
      <c r="L3" s="5" t="s">
        <v>26</v>
      </c>
      <c r="M3" s="5" t="s">
        <v>27</v>
      </c>
      <c r="N3" s="5" t="s">
        <v>28</v>
      </c>
      <c r="O3" s="5" t="s">
        <v>5</v>
      </c>
      <c r="P3" s="8" t="s">
        <v>44</v>
      </c>
    </row>
    <row r="4" spans="2:17" x14ac:dyDescent="0.25">
      <c r="B4" s="1">
        <v>1</v>
      </c>
      <c r="C4" s="1">
        <v>6</v>
      </c>
      <c r="D4" s="1">
        <v>0</v>
      </c>
      <c r="E4" s="1" t="s">
        <v>8</v>
      </c>
      <c r="F4" s="2" t="s">
        <v>6</v>
      </c>
      <c r="G4" s="1" t="s">
        <v>7</v>
      </c>
      <c r="H4" s="1"/>
      <c r="I4" s="1"/>
      <c r="Q4" t="s">
        <v>52</v>
      </c>
    </row>
    <row r="5" spans="2:17" x14ac:dyDescent="0.25">
      <c r="B5" s="1">
        <v>1</v>
      </c>
      <c r="C5" s="1">
        <v>6</v>
      </c>
      <c r="D5" s="1">
        <v>0</v>
      </c>
      <c r="E5" s="1" t="s">
        <v>8</v>
      </c>
      <c r="F5" s="2" t="s">
        <v>9</v>
      </c>
      <c r="G5" s="1" t="s">
        <v>7</v>
      </c>
      <c r="H5" s="1"/>
      <c r="I5" s="1"/>
    </row>
    <row r="6" spans="2:17" x14ac:dyDescent="0.25">
      <c r="B6" s="1">
        <v>1</v>
      </c>
      <c r="C6" s="1">
        <v>7</v>
      </c>
      <c r="D6" s="1">
        <v>0</v>
      </c>
      <c r="E6" s="1" t="s">
        <v>8</v>
      </c>
      <c r="F6" s="2" t="s">
        <v>33</v>
      </c>
      <c r="G6" s="1" t="s">
        <v>10</v>
      </c>
      <c r="H6" s="1" t="s">
        <v>11</v>
      </c>
      <c r="I6" s="1"/>
      <c r="P6" t="s">
        <v>45</v>
      </c>
    </row>
    <row r="7" spans="2:17" x14ac:dyDescent="0.25">
      <c r="B7" s="1">
        <v>1</v>
      </c>
      <c r="C7" s="1">
        <v>8</v>
      </c>
      <c r="D7" s="1">
        <v>0</v>
      </c>
      <c r="E7" s="1" t="s">
        <v>8</v>
      </c>
      <c r="F7" s="2" t="s">
        <v>30</v>
      </c>
      <c r="G7" s="1" t="s">
        <v>68</v>
      </c>
      <c r="H7" s="1" t="s">
        <v>54</v>
      </c>
      <c r="I7" s="1" t="s">
        <v>32</v>
      </c>
      <c r="J7" s="1"/>
      <c r="Q7" s="7" t="s">
        <v>46</v>
      </c>
    </row>
    <row r="8" spans="2:17" x14ac:dyDescent="0.25">
      <c r="B8" s="1">
        <v>1</v>
      </c>
      <c r="C8" s="1">
        <v>8</v>
      </c>
      <c r="D8" s="1" t="s">
        <v>36</v>
      </c>
      <c r="E8" s="1" t="s">
        <v>8</v>
      </c>
      <c r="F8" s="2" t="s">
        <v>67</v>
      </c>
      <c r="G8" s="1" t="s">
        <v>68</v>
      </c>
      <c r="H8" s="1" t="s">
        <v>71</v>
      </c>
      <c r="I8" s="1" t="s">
        <v>35</v>
      </c>
      <c r="O8" t="s">
        <v>5</v>
      </c>
      <c r="Q8" t="s">
        <v>50</v>
      </c>
    </row>
    <row r="9" spans="2:17" x14ac:dyDescent="0.25">
      <c r="B9" s="1">
        <v>1</v>
      </c>
      <c r="C9" s="1">
        <v>6</v>
      </c>
      <c r="D9" s="1">
        <v>0</v>
      </c>
      <c r="E9" s="1" t="s">
        <v>8</v>
      </c>
      <c r="F9" s="2" t="s">
        <v>39</v>
      </c>
      <c r="G9" s="1" t="s">
        <v>40</v>
      </c>
      <c r="H9" s="1"/>
      <c r="I9" s="1"/>
      <c r="Q9" t="s">
        <v>47</v>
      </c>
    </row>
    <row r="10" spans="2:17" x14ac:dyDescent="0.25">
      <c r="B10" s="1">
        <v>1</v>
      </c>
      <c r="C10" s="1">
        <v>7</v>
      </c>
      <c r="D10" s="1">
        <v>0</v>
      </c>
      <c r="E10" s="1" t="s">
        <v>8</v>
      </c>
      <c r="F10" s="2" t="s">
        <v>70</v>
      </c>
      <c r="G10" s="1" t="s">
        <v>40</v>
      </c>
      <c r="H10" s="1" t="s">
        <v>69</v>
      </c>
      <c r="I10" s="1"/>
    </row>
    <row r="11" spans="2:17" x14ac:dyDescent="0.25">
      <c r="B11" s="1">
        <v>1</v>
      </c>
      <c r="C11" s="1">
        <v>9</v>
      </c>
      <c r="D11" s="1" t="s">
        <v>57</v>
      </c>
      <c r="E11" s="1" t="s">
        <v>8</v>
      </c>
      <c r="F11" s="2" t="s">
        <v>53</v>
      </c>
      <c r="G11" s="1" t="s">
        <v>31</v>
      </c>
      <c r="H11" s="1" t="s">
        <v>41</v>
      </c>
      <c r="I11" s="1" t="s">
        <v>54</v>
      </c>
      <c r="J11" s="1" t="s">
        <v>55</v>
      </c>
      <c r="O11" s="1" t="s">
        <v>56</v>
      </c>
      <c r="Q11" t="s">
        <v>48</v>
      </c>
    </row>
    <row r="12" spans="2:17" x14ac:dyDescent="0.25">
      <c r="B12" s="2">
        <v>1</v>
      </c>
      <c r="C12" s="2">
        <v>5</v>
      </c>
      <c r="D12" s="2">
        <v>0</v>
      </c>
      <c r="E12" s="2" t="s">
        <v>8</v>
      </c>
      <c r="F12" s="2" t="s">
        <v>63</v>
      </c>
      <c r="G12" s="1"/>
      <c r="H12" s="1"/>
      <c r="I12" s="1"/>
      <c r="J12" s="1"/>
      <c r="P12" t="s">
        <v>49</v>
      </c>
    </row>
    <row r="13" spans="2:17" x14ac:dyDescent="0.25">
      <c r="B13" s="1">
        <v>1</v>
      </c>
      <c r="C13" s="1">
        <v>7</v>
      </c>
      <c r="D13" s="1" t="s">
        <v>57</v>
      </c>
      <c r="E13" s="1" t="s">
        <v>8</v>
      </c>
      <c r="F13" s="2" t="s">
        <v>29</v>
      </c>
      <c r="G13" s="1" t="s">
        <v>68</v>
      </c>
      <c r="H13" s="1" t="s">
        <v>54</v>
      </c>
      <c r="O13" t="s">
        <v>56</v>
      </c>
      <c r="Q13" t="s">
        <v>51</v>
      </c>
    </row>
    <row r="14" spans="2:17" x14ac:dyDescent="0.25">
      <c r="B14" s="1"/>
      <c r="C14" s="1"/>
      <c r="D14" s="1"/>
      <c r="E14" s="1"/>
      <c r="G14" s="1"/>
      <c r="H14" s="1"/>
      <c r="I14" s="1"/>
    </row>
    <row r="15" spans="2:17" x14ac:dyDescent="0.25">
      <c r="B15" s="1"/>
      <c r="C15" s="1"/>
      <c r="D15" s="1"/>
      <c r="E15" s="1"/>
      <c r="F15" s="2" t="s">
        <v>79</v>
      </c>
      <c r="G15" s="1" t="s">
        <v>81</v>
      </c>
      <c r="H15" s="1"/>
      <c r="I15" s="1"/>
      <c r="P15" t="s">
        <v>29</v>
      </c>
      <c r="Q15" t="s">
        <v>64</v>
      </c>
    </row>
    <row r="16" spans="2:17" x14ac:dyDescent="0.25">
      <c r="B16" s="1"/>
      <c r="C16" s="1"/>
      <c r="D16" s="1"/>
      <c r="E16" s="1"/>
      <c r="F16" s="2" t="s">
        <v>80</v>
      </c>
      <c r="G16" s="1"/>
      <c r="H16" s="1"/>
      <c r="I16" s="1"/>
      <c r="P16" t="s">
        <v>65</v>
      </c>
      <c r="Q16" t="s">
        <v>66</v>
      </c>
    </row>
    <row r="17" spans="2:16" x14ac:dyDescent="0.25">
      <c r="B17" s="1"/>
      <c r="C17" s="1"/>
      <c r="D17" s="1"/>
      <c r="E17" s="1"/>
      <c r="G17" s="1"/>
      <c r="H17" s="1"/>
      <c r="I17" s="1"/>
    </row>
    <row r="18" spans="2:16" x14ac:dyDescent="0.25">
      <c r="B18" s="1"/>
      <c r="C18" s="1"/>
      <c r="D18" s="1"/>
      <c r="E18" s="1"/>
      <c r="G18" s="1"/>
      <c r="H18" s="1"/>
      <c r="I18" s="1"/>
    </row>
    <row r="19" spans="2:16" x14ac:dyDescent="0.25">
      <c r="B19" s="1"/>
      <c r="C19" s="1"/>
      <c r="D19" s="1"/>
      <c r="E19" s="1"/>
      <c r="G19" s="1"/>
      <c r="H19" s="1"/>
      <c r="I19" s="1"/>
    </row>
    <row r="20" spans="2:16" x14ac:dyDescent="0.25">
      <c r="B20" s="1"/>
      <c r="C20" s="1"/>
      <c r="D20" s="1"/>
      <c r="E20" s="1"/>
      <c r="G20" s="1"/>
      <c r="H20" s="1"/>
      <c r="I20" s="1"/>
    </row>
    <row r="21" spans="2:16" ht="30" customHeight="1" x14ac:dyDescent="0.25">
      <c r="B21" s="1"/>
      <c r="C21" s="1"/>
      <c r="D21" s="1"/>
      <c r="E21" s="1"/>
      <c r="G21" s="1"/>
      <c r="H21" s="1"/>
      <c r="I21" s="1"/>
    </row>
    <row r="22" spans="2:16" ht="30" customHeight="1" x14ac:dyDescent="0.25">
      <c r="B22" s="1"/>
      <c r="C22" s="1"/>
      <c r="D22" s="1"/>
      <c r="E22" s="1"/>
      <c r="G22" s="1"/>
      <c r="H22" s="1"/>
      <c r="I22" s="1"/>
    </row>
    <row r="24" spans="2:16" x14ac:dyDescent="0.25">
      <c r="P24">
        <f>7500/230</f>
        <v>32.608695652173914</v>
      </c>
    </row>
    <row r="25" spans="2:16" x14ac:dyDescent="0.25">
      <c r="B25" s="2">
        <v>1</v>
      </c>
      <c r="C25" s="2">
        <v>9</v>
      </c>
      <c r="D25" s="2">
        <v>0</v>
      </c>
      <c r="E25" s="2" t="s">
        <v>8</v>
      </c>
      <c r="F25" s="2" t="s">
        <v>22</v>
      </c>
      <c r="G25" s="1" t="s">
        <v>23</v>
      </c>
      <c r="H25" s="1" t="s">
        <v>24</v>
      </c>
      <c r="I25" s="1" t="s">
        <v>15</v>
      </c>
      <c r="J25" s="1" t="s">
        <v>16</v>
      </c>
      <c r="P25">
        <f>9*3.14*2.5</f>
        <v>70.650000000000006</v>
      </c>
    </row>
    <row r="26" spans="2:16" x14ac:dyDescent="0.25">
      <c r="B26" s="1">
        <v>1</v>
      </c>
      <c r="C26" s="1">
        <v>8</v>
      </c>
      <c r="D26" s="1">
        <v>0</v>
      </c>
      <c r="E26" s="1" t="s">
        <v>8</v>
      </c>
      <c r="F26" s="2" t="s">
        <v>18</v>
      </c>
      <c r="G26" s="1" t="s">
        <v>19</v>
      </c>
      <c r="H26" s="1" t="s">
        <v>25</v>
      </c>
      <c r="I26" s="1" t="s">
        <v>20</v>
      </c>
      <c r="P26">
        <f>P25*230</f>
        <v>16249.500000000002</v>
      </c>
    </row>
    <row r="27" spans="2:16" x14ac:dyDescent="0.25">
      <c r="B27" s="10">
        <v>1</v>
      </c>
      <c r="C27" s="10">
        <v>9</v>
      </c>
      <c r="D27" s="10">
        <v>0</v>
      </c>
      <c r="E27" s="10" t="s">
        <v>8</v>
      </c>
      <c r="F27" s="10" t="s">
        <v>21</v>
      </c>
      <c r="G27" s="11" t="s">
        <v>72</v>
      </c>
      <c r="H27" s="1" t="s">
        <v>12</v>
      </c>
      <c r="I27" t="s">
        <v>17</v>
      </c>
      <c r="J27" s="1" t="s">
        <v>13</v>
      </c>
    </row>
    <row r="28" spans="2:16" x14ac:dyDescent="0.25">
      <c r="B28" s="10"/>
      <c r="C28" s="10"/>
      <c r="D28" s="10"/>
      <c r="E28" s="10"/>
      <c r="F28" s="10"/>
      <c r="G28" s="10"/>
      <c r="H28" s="1" t="s">
        <v>14</v>
      </c>
      <c r="I28" s="1" t="s">
        <v>15</v>
      </c>
      <c r="J28" s="1" t="s">
        <v>16</v>
      </c>
      <c r="P28">
        <f>70*70*0.05</f>
        <v>245</v>
      </c>
    </row>
    <row r="29" spans="2:16" x14ac:dyDescent="0.25">
      <c r="B29" s="10"/>
      <c r="C29" s="10"/>
      <c r="D29" s="10"/>
      <c r="E29" s="10"/>
      <c r="F29" s="10"/>
      <c r="G29" s="2" t="s">
        <v>73</v>
      </c>
      <c r="H29" s="1" t="s">
        <v>74</v>
      </c>
      <c r="I29" s="1" t="s">
        <v>75</v>
      </c>
      <c r="J29" s="1"/>
    </row>
    <row r="30" spans="2:16" ht="75" x14ac:dyDescent="0.25">
      <c r="B30" s="2">
        <v>1</v>
      </c>
      <c r="C30" s="2">
        <v>7</v>
      </c>
      <c r="D30" s="2">
        <v>0</v>
      </c>
      <c r="E30" s="2" t="s">
        <v>8</v>
      </c>
      <c r="F30" s="2" t="s">
        <v>76</v>
      </c>
      <c r="G30" s="9" t="s">
        <v>78</v>
      </c>
      <c r="H30" s="2" t="s">
        <v>77</v>
      </c>
      <c r="I30" s="1"/>
      <c r="J30" s="1"/>
    </row>
    <row r="31" spans="2:16" x14ac:dyDescent="0.25">
      <c r="B31" s="1">
        <v>1</v>
      </c>
      <c r="C31" s="1">
        <v>9</v>
      </c>
      <c r="D31" s="1">
        <v>0</v>
      </c>
      <c r="E31" s="1" t="s">
        <v>8</v>
      </c>
      <c r="F31" s="2" t="s">
        <v>34</v>
      </c>
      <c r="G31" s="1" t="s">
        <v>37</v>
      </c>
      <c r="H31" s="1" t="s">
        <v>31</v>
      </c>
      <c r="I31" s="1" t="s">
        <v>15</v>
      </c>
      <c r="J31" s="1" t="s">
        <v>16</v>
      </c>
    </row>
    <row r="32" spans="2:16" x14ac:dyDescent="0.25">
      <c r="B32" s="1">
        <v>1</v>
      </c>
      <c r="C32" s="1">
        <v>9</v>
      </c>
      <c r="D32" s="1">
        <v>0</v>
      </c>
      <c r="E32" s="1" t="s">
        <v>8</v>
      </c>
      <c r="F32" s="2" t="s">
        <v>38</v>
      </c>
      <c r="G32" s="1" t="s">
        <v>37</v>
      </c>
      <c r="H32" s="1" t="s">
        <v>31</v>
      </c>
      <c r="I32" s="1" t="s">
        <v>15</v>
      </c>
      <c r="J32" s="1" t="s">
        <v>16</v>
      </c>
    </row>
  </sheetData>
  <mergeCells count="6">
    <mergeCell ref="D27:D29"/>
    <mergeCell ref="E27:E29"/>
    <mergeCell ref="G27:G28"/>
    <mergeCell ref="F27:F29"/>
    <mergeCell ref="B27:B29"/>
    <mergeCell ref="C27:C2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Viorel Serbu</dc:creator>
  <cp:lastModifiedBy>Viorel Serbu</cp:lastModifiedBy>
  <dcterms:created xsi:type="dcterms:W3CDTF">2026-05-05T09:09:59Z</dcterms:created>
  <dcterms:modified xsi:type="dcterms:W3CDTF">2026-05-22T16:16:03Z</dcterms:modified>
</cp:coreProperties>
</file>